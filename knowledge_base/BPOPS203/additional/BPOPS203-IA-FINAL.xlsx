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G45" i="1" l="1"/>
  <c r="G46" i="1"/>
  <c r="H46" i="1" s="1"/>
  <c r="J46" i="1" s="1"/>
  <c r="G47" i="1"/>
  <c r="H47" i="1" s="1"/>
  <c r="J47" i="1" s="1"/>
  <c r="G48" i="1"/>
  <c r="H48" i="1" s="1"/>
  <c r="G49" i="1"/>
  <c r="H49" i="1" s="1"/>
  <c r="J49" i="1" s="1"/>
  <c r="G50" i="1"/>
  <c r="H50" i="1" s="1"/>
  <c r="J50" i="1" s="1"/>
  <c r="G51" i="1"/>
  <c r="H51" i="1" s="1"/>
  <c r="J51" i="1" s="1"/>
  <c r="G52" i="1"/>
  <c r="H52" i="1" s="1"/>
  <c r="J52" i="1" s="1"/>
  <c r="G53" i="1"/>
  <c r="G54" i="1"/>
  <c r="H54" i="1" s="1"/>
  <c r="J54" i="1" s="1"/>
  <c r="G55" i="1"/>
  <c r="H55" i="1" s="1"/>
  <c r="J55" i="1" s="1"/>
  <c r="G56" i="1"/>
  <c r="H56" i="1" s="1"/>
  <c r="J56" i="1" s="1"/>
  <c r="G57" i="1"/>
  <c r="H57" i="1" s="1"/>
  <c r="J57" i="1" s="1"/>
  <c r="G58" i="1"/>
  <c r="H58" i="1" s="1"/>
  <c r="J58" i="1" s="1"/>
  <c r="G59" i="1"/>
  <c r="H59" i="1" s="1"/>
  <c r="J59" i="1" s="1"/>
  <c r="G60" i="1"/>
  <c r="H60" i="1" s="1"/>
  <c r="J60" i="1" s="1"/>
  <c r="G61" i="1"/>
  <c r="G62" i="1"/>
  <c r="H62" i="1" s="1"/>
  <c r="J62" i="1" s="1"/>
  <c r="G63" i="1"/>
  <c r="H63" i="1" s="1"/>
  <c r="J63" i="1" s="1"/>
  <c r="G64" i="1"/>
  <c r="H64" i="1" s="1"/>
  <c r="J64" i="1" s="1"/>
  <c r="G65" i="1"/>
  <c r="G66" i="1"/>
  <c r="H66" i="1" s="1"/>
  <c r="J66" i="1" s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H45" i="1"/>
  <c r="J45" i="1" s="1"/>
  <c r="H53" i="1"/>
  <c r="J53" i="1" s="1"/>
  <c r="H61" i="1"/>
  <c r="J61" i="1" s="1"/>
  <c r="H65" i="1"/>
  <c r="J65" i="1" s="1"/>
  <c r="N65" i="1" l="1"/>
  <c r="N54" i="1"/>
  <c r="N53" i="1"/>
  <c r="N49" i="1"/>
  <c r="N58" i="1"/>
  <c r="N62" i="1"/>
  <c r="N57" i="1"/>
  <c r="N46" i="1"/>
  <c r="N66" i="1"/>
  <c r="N61" i="1"/>
  <c r="N50" i="1"/>
  <c r="N45" i="1"/>
  <c r="N64" i="1"/>
  <c r="N60" i="1"/>
  <c r="N56" i="1"/>
  <c r="N52" i="1"/>
  <c r="N48" i="1"/>
  <c r="N63" i="1"/>
  <c r="N59" i="1"/>
  <c r="N55" i="1"/>
  <c r="N51" i="1"/>
  <c r="N47" i="1"/>
  <c r="G11" i="1"/>
  <c r="H11" i="1" s="1"/>
  <c r="J11" i="1" s="1"/>
  <c r="G12" i="1"/>
  <c r="H12" i="1" s="1"/>
  <c r="J12" i="1" s="1"/>
  <c r="G14" i="1"/>
  <c r="H14" i="1" s="1"/>
  <c r="J14" i="1" s="1"/>
  <c r="G16" i="1"/>
  <c r="H16" i="1" s="1"/>
  <c r="J16" i="1" s="1"/>
  <c r="G17" i="1"/>
  <c r="H17" i="1" s="1"/>
  <c r="J17" i="1" s="1"/>
  <c r="G18" i="1"/>
  <c r="H18" i="1" s="1"/>
  <c r="J18" i="1" s="1"/>
  <c r="G19" i="1"/>
  <c r="H19" i="1" s="1"/>
  <c r="J19" i="1" s="1"/>
  <c r="G20" i="1"/>
  <c r="H20" i="1" s="1"/>
  <c r="J20" i="1" s="1"/>
  <c r="G21" i="1"/>
  <c r="H21" i="1" s="1"/>
  <c r="J21" i="1" s="1"/>
  <c r="G22" i="1"/>
  <c r="H22" i="1" s="1"/>
  <c r="J22" i="1" s="1"/>
  <c r="G23" i="1"/>
  <c r="H23" i="1" s="1"/>
  <c r="J23" i="1" s="1"/>
  <c r="G24" i="1"/>
  <c r="H24" i="1" s="1"/>
  <c r="J24" i="1" s="1"/>
  <c r="G25" i="1"/>
  <c r="H25" i="1" s="1"/>
  <c r="J25" i="1" s="1"/>
  <c r="G26" i="1"/>
  <c r="H26" i="1" s="1"/>
  <c r="J26" i="1" s="1"/>
  <c r="G27" i="1"/>
  <c r="H27" i="1" s="1"/>
  <c r="J27" i="1" s="1"/>
  <c r="G13" i="1"/>
  <c r="H13" i="1" s="1"/>
  <c r="J13" i="1" s="1"/>
  <c r="G28" i="1"/>
  <c r="H28" i="1" s="1"/>
  <c r="J28" i="1" s="1"/>
  <c r="G29" i="1"/>
  <c r="H29" i="1" s="1"/>
  <c r="J29" i="1" s="1"/>
  <c r="G15" i="1"/>
  <c r="H15" i="1" s="1"/>
  <c r="J15" i="1" s="1"/>
  <c r="G31" i="1"/>
  <c r="H31" i="1" s="1"/>
  <c r="J31" i="1" s="1"/>
  <c r="G32" i="1"/>
  <c r="H32" i="1" s="1"/>
  <c r="J32" i="1" s="1"/>
  <c r="G33" i="1"/>
  <c r="H33" i="1" s="1"/>
  <c r="J33" i="1" s="1"/>
  <c r="G34" i="1"/>
  <c r="H34" i="1" s="1"/>
  <c r="J34" i="1" s="1"/>
  <c r="G36" i="1"/>
  <c r="H36" i="1" s="1"/>
  <c r="J36" i="1" s="1"/>
  <c r="G35" i="1"/>
  <c r="H35" i="1" s="1"/>
  <c r="J35" i="1" s="1"/>
  <c r="G37" i="1"/>
  <c r="H37" i="1" s="1"/>
  <c r="J37" i="1" s="1"/>
  <c r="G38" i="1"/>
  <c r="H38" i="1" s="1"/>
  <c r="J38" i="1" s="1"/>
  <c r="G39" i="1"/>
  <c r="H39" i="1" s="1"/>
  <c r="J39" i="1" s="1"/>
  <c r="G40" i="1"/>
  <c r="H40" i="1" s="1"/>
  <c r="J40" i="1" s="1"/>
  <c r="G30" i="1"/>
  <c r="H30" i="1" s="1"/>
  <c r="J30" i="1" s="1"/>
  <c r="G41" i="1"/>
  <c r="H41" i="1" s="1"/>
  <c r="J41" i="1" s="1"/>
  <c r="G42" i="1"/>
  <c r="H42" i="1" s="1"/>
  <c r="J42" i="1" s="1"/>
  <c r="G43" i="1"/>
  <c r="H43" i="1" s="1"/>
  <c r="J43" i="1" s="1"/>
  <c r="G44" i="1"/>
  <c r="H44" i="1" s="1"/>
  <c r="J44" i="1" s="1"/>
  <c r="M11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13" i="1"/>
  <c r="M28" i="1"/>
  <c r="M29" i="1"/>
  <c r="M15" i="1"/>
  <c r="M31" i="1"/>
  <c r="M32" i="1"/>
  <c r="M33" i="1"/>
  <c r="M34" i="1"/>
  <c r="M36" i="1"/>
  <c r="M35" i="1"/>
  <c r="M37" i="1"/>
  <c r="M38" i="1"/>
  <c r="M39" i="1"/>
  <c r="M40" i="1"/>
  <c r="M30" i="1"/>
  <c r="M41" i="1"/>
  <c r="M42" i="1"/>
  <c r="M43" i="1"/>
  <c r="M44" i="1"/>
  <c r="M10" i="1"/>
  <c r="G10" i="1"/>
  <c r="H10" i="1" s="1"/>
  <c r="J10" i="1" s="1"/>
  <c r="N10" i="1" l="1"/>
  <c r="N12" i="1"/>
  <c r="N11" i="1"/>
  <c r="N23" i="1"/>
  <c r="N44" i="1"/>
  <c r="N33" i="1"/>
  <c r="N22" i="1"/>
  <c r="N13" i="1"/>
  <c r="N43" i="1"/>
  <c r="N42" i="1"/>
  <c r="N41" i="1"/>
  <c r="N30" i="1"/>
  <c r="N40" i="1"/>
  <c r="N39" i="1"/>
  <c r="N38" i="1"/>
  <c r="N37" i="1"/>
  <c r="N35" i="1"/>
  <c r="N36" i="1"/>
  <c r="N34" i="1"/>
  <c r="N32" i="1"/>
  <c r="N31" i="1"/>
  <c r="N15" i="1"/>
  <c r="N29" i="1"/>
  <c r="N28" i="1"/>
  <c r="N27" i="1"/>
  <c r="N26" i="1"/>
  <c r="N25" i="1"/>
  <c r="N24" i="1"/>
  <c r="N21" i="1"/>
  <c r="N20" i="1"/>
  <c r="N19" i="1"/>
  <c r="N18" i="1"/>
  <c r="N17" i="1"/>
  <c r="N16" i="1"/>
  <c r="N14" i="1"/>
</calcChain>
</file>

<file path=xl/sharedStrings.xml><?xml version="1.0" encoding="utf-8"?>
<sst xmlns="http://schemas.openxmlformats.org/spreadsheetml/2006/main" count="139" uniqueCount="138">
  <si>
    <t>USN</t>
  </si>
  <si>
    <t>Name</t>
  </si>
  <si>
    <t>IA1</t>
  </si>
  <si>
    <t>IA2</t>
  </si>
  <si>
    <t>IA3</t>
  </si>
  <si>
    <t>AVG</t>
  </si>
  <si>
    <t>LAB-CIE</t>
  </si>
  <si>
    <t>LAB-Test</t>
  </si>
  <si>
    <t>SL.NO</t>
  </si>
  <si>
    <t>Final-IA</t>
  </si>
  <si>
    <t>FINAL-LAB</t>
  </si>
  <si>
    <t>Assign</t>
  </si>
  <si>
    <t>AVG-Round</t>
  </si>
  <si>
    <t xml:space="preserve">                     Aditya College of Engineering and Technology</t>
  </si>
  <si>
    <t xml:space="preserve">                                # 2/2, 2/8 &amp; 2/9, Kamakshipura, Hesaraghatta Hobli, Yelahanka, Bengaluru – 560 089</t>
  </si>
  <si>
    <t xml:space="preserve">                                Affiliated to VTU, Belagavi, Approved by UGC/AICTE/Govt. of Karnataka, Bengaluru</t>
  </si>
  <si>
    <t>Academic Year-</t>
  </si>
  <si>
    <t>2024-2025</t>
  </si>
  <si>
    <t>Faculty:Dr. Naveen Kumar C</t>
  </si>
  <si>
    <t>SubCode-</t>
  </si>
  <si>
    <t>1DI24CA001</t>
  </si>
  <si>
    <t>Abhishek Trivedi</t>
  </si>
  <si>
    <t>1DI24CA002</t>
  </si>
  <si>
    <t>Apsara</t>
  </si>
  <si>
    <t>1DI24CA003</t>
  </si>
  <si>
    <t>Asfiya Khanum Suhana</t>
  </si>
  <si>
    <t>1DI24CA004</t>
  </si>
  <si>
    <t>Bharath N</t>
  </si>
  <si>
    <t>1DI24CA005</t>
  </si>
  <si>
    <t>Dilip Kumar S</t>
  </si>
  <si>
    <t>1DI24CA006</t>
  </si>
  <si>
    <t>Mahankalamma J</t>
  </si>
  <si>
    <t>1DI24CA007</t>
  </si>
  <si>
    <t>Karthik S V</t>
  </si>
  <si>
    <t>1DI24CA008</t>
  </si>
  <si>
    <t>Ashwini M</t>
  </si>
  <si>
    <t>1DI24CA009</t>
  </si>
  <si>
    <t>Mohammed Sheikh Afzal</t>
  </si>
  <si>
    <t>1DI24CA010</t>
  </si>
  <si>
    <t>Nethravathi B C</t>
  </si>
  <si>
    <t>1DI24CA011</t>
  </si>
  <si>
    <t>Nikhil Pathak</t>
  </si>
  <si>
    <t>1DI24CA012</t>
  </si>
  <si>
    <t>Yasaswini Rai P</t>
  </si>
  <si>
    <t>1DI24CA013</t>
  </si>
  <si>
    <t>Pragna Kulkarni</t>
  </si>
  <si>
    <t>1DI24CA014</t>
  </si>
  <si>
    <t>Prajwala M</t>
  </si>
  <si>
    <t>1DI24CA015</t>
  </si>
  <si>
    <t>Rakesh Heerasing</t>
  </si>
  <si>
    <t>1DI24CA017</t>
  </si>
  <si>
    <t>Sinchana B R</t>
  </si>
  <si>
    <t>1DI24CA018</t>
  </si>
  <si>
    <t>Tarun N Dunnur</t>
  </si>
  <si>
    <t>1DI24CA019</t>
  </si>
  <si>
    <t>Vamshi Shankar H N</t>
  </si>
  <si>
    <t>1DI24CA020</t>
  </si>
  <si>
    <t>Vignesh M Aradhya</t>
  </si>
  <si>
    <t>1DI24CA021</t>
  </si>
  <si>
    <t>Vinay K</t>
  </si>
  <si>
    <t>1DI24CS023</t>
  </si>
  <si>
    <t>Ishrar Ahmed</t>
  </si>
  <si>
    <t>1DI24CS048</t>
  </si>
  <si>
    <t>Om Praksh Sah</t>
  </si>
  <si>
    <t>1DI24CS056</t>
  </si>
  <si>
    <t>Rakesh K Y</t>
  </si>
  <si>
    <t>1DI24CS057</t>
  </si>
  <si>
    <t>Rohith S C</t>
  </si>
  <si>
    <t>1DI24CS059</t>
  </si>
  <si>
    <t>Roopa S N</t>
  </si>
  <si>
    <t>1DI24CS058</t>
  </si>
  <si>
    <t>Roopa Kallappa Managuli</t>
  </si>
  <si>
    <t>1DI24CS060</t>
  </si>
  <si>
    <t>Ruchitha G R</t>
  </si>
  <si>
    <t>1DI24CS061</t>
  </si>
  <si>
    <t>Sachin</t>
  </si>
  <si>
    <t>1DI24CS062</t>
  </si>
  <si>
    <t>Sameen Sadaf Touseel</t>
  </si>
  <si>
    <t>1DI24CS063</t>
  </si>
  <si>
    <t>Sandeepa</t>
  </si>
  <si>
    <t>1DI24CS013</t>
  </si>
  <si>
    <t>Sangam D</t>
  </si>
  <si>
    <t>1DI24CS064</t>
  </si>
  <si>
    <t>Sapthala R</t>
  </si>
  <si>
    <t>1DI24CS065</t>
  </si>
  <si>
    <t>Shalini V G</t>
  </si>
  <si>
    <t>1DI24CS066</t>
  </si>
  <si>
    <t>Shamsher Ahamad Musalman</t>
  </si>
  <si>
    <t>1DI24CS067</t>
  </si>
  <si>
    <t>Sharan M N</t>
  </si>
  <si>
    <t>1DI24CS068</t>
  </si>
  <si>
    <t>Shashank</t>
  </si>
  <si>
    <t>1DI24CS069</t>
  </si>
  <si>
    <t>Shreya G L</t>
  </si>
  <si>
    <t>1DI24CS070</t>
  </si>
  <si>
    <t>Siddalingayya Swamy</t>
  </si>
  <si>
    <t>1DI24CS071</t>
  </si>
  <si>
    <t>Siddarth</t>
  </si>
  <si>
    <t>1DI24CS072</t>
  </si>
  <si>
    <t>Sonu Badhai</t>
  </si>
  <si>
    <t>1DI24CS073</t>
  </si>
  <si>
    <t>Soujanya</t>
  </si>
  <si>
    <t>1DI24CS074</t>
  </si>
  <si>
    <t>Srilikitha M B</t>
  </si>
  <si>
    <t>1DI24CS075</t>
  </si>
  <si>
    <t>Srushti M Gadi</t>
  </si>
  <si>
    <t>1DI24CS076</t>
  </si>
  <si>
    <t>Sunny Kumar Das</t>
  </si>
  <si>
    <t>1DI24CS077</t>
  </si>
  <si>
    <t>Susan Christopher Fernandes</t>
  </si>
  <si>
    <t>1DI24CS078</t>
  </si>
  <si>
    <t>Tejas P N</t>
  </si>
  <si>
    <t>1DI24CS079</t>
  </si>
  <si>
    <t>Tejaswini R K</t>
  </si>
  <si>
    <t>1DI24CS080</t>
  </si>
  <si>
    <t>Tejaswini T</t>
  </si>
  <si>
    <t>1DI24CS081</t>
  </si>
  <si>
    <t>Triveni Guranna Pasodi</t>
  </si>
  <si>
    <t>1DI24CS082</t>
  </si>
  <si>
    <t>Vachana M M</t>
  </si>
  <si>
    <t>1DI24CS083</t>
  </si>
  <si>
    <t>Vaibhav N Gowda</t>
  </si>
  <si>
    <t>1DI24CS084</t>
  </si>
  <si>
    <t>Varsha B U</t>
  </si>
  <si>
    <t>1DI24CS085</t>
  </si>
  <si>
    <t>Varsha S</t>
  </si>
  <si>
    <t>1DI24CS086</t>
  </si>
  <si>
    <t>Venkatesh Kumar</t>
  </si>
  <si>
    <t>1DI24CS087</t>
  </si>
  <si>
    <t>Vinay Satyappa Sollapure</t>
  </si>
  <si>
    <t>1DI24CS088</t>
  </si>
  <si>
    <t>Vishalakshi</t>
  </si>
  <si>
    <t>1DI24CS089</t>
  </si>
  <si>
    <t>Yashwanth K B</t>
  </si>
  <si>
    <t xml:space="preserve">                       DEPARTMENT OF COMPUTER SCIENCE &amp; ENGINEERING</t>
  </si>
  <si>
    <t>Subject-PRINCIPLES OF C PROGRAMMING</t>
  </si>
  <si>
    <t>BPOPS203</t>
  </si>
  <si>
    <t>Sem-II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</si>
</sst>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C00000"/>
      <name val="Arial Black"/>
      <family val="2"/>
    </font>
    <font>
      <b/>
      <sz val="10"/>
      <color rgb="FFC00000"/>
      <name val="Arial Black"/>
      <family val="2"/>
    </font>
    <font>
      <b/>
      <sz val="8"/>
      <name val="Arial Black"/>
      <family val="2"/>
    </font>
    <font>
      <b/>
      <sz val="12"/>
      <name val="Arial Black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2" xfId="0" applyFont="1" applyBorder="1" applyAlignment="1"/>
    <xf numFmtId="0" fontId="12" fillId="0" borderId="4" xfId="0" applyFont="1" applyBorder="1" applyAlignment="1"/>
    <xf numFmtId="0" fontId="12" fillId="0" borderId="1" xfId="0" applyFont="1" applyBorder="1" applyAlignment="1"/>
    <xf numFmtId="0" fontId="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1" xfId="0" applyFont="1" applyBorder="1" applyAlignment="1"/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1" fillId="0" borderId="0" xfId="0" applyFont="1"/>
    <xf numFmtId="0" fontId="13" fillId="0" borderId="1" xfId="0" applyFont="1" applyBorder="1" applyAlignment="1">
      <alignment horizontal="center"/>
    </xf>
    <xf numFmtId="0" fontId="14" fillId="0" borderId="2" xfId="0" applyFont="1" applyBorder="1" applyAlignment="1"/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38100</xdr:rowOff>
    </xdr:from>
    <xdr:to>
      <xdr:col>2</xdr:col>
      <xdr:colOff>66675</xdr:colOff>
      <xdr:row>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38100"/>
          <a:ext cx="97155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6"/>
  <sheetViews>
    <sheetView tabSelected="1" workbookViewId="0">
      <selection activeCell="A65" sqref="A65:XFD65"/>
    </sheetView>
  </sheetViews>
  <sheetFormatPr defaultRowHeight="15" x14ac:dyDescent="0.25"/>
  <cols>
    <col min="1" max="1" width="7.42578125" customWidth="1"/>
    <col min="2" max="2" width="15" customWidth="1"/>
    <col min="3" max="3" width="34.140625" customWidth="1"/>
    <col min="4" max="4" width="4.7109375" customWidth="1"/>
    <col min="5" max="5" width="5.5703125" customWidth="1"/>
    <col min="6" max="6" width="4.85546875" customWidth="1"/>
    <col min="8" max="8" width="7.7109375" customWidth="1"/>
    <col min="9" max="9" width="6.5703125" customWidth="1"/>
    <col min="10" max="10" width="8.42578125" customWidth="1"/>
    <col min="12" max="12" width="9.7109375" customWidth="1"/>
    <col min="13" max="13" width="8.28515625" customWidth="1"/>
    <col min="14" max="14" width="8.140625" customWidth="1"/>
  </cols>
  <sheetData>
    <row r="1" spans="1:17" x14ac:dyDescent="0.25">
      <c r="B1" s="26" t="s">
        <v>13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B2" s="28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x14ac:dyDescent="0.25">
      <c r="B3" s="28" t="s">
        <v>15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x14ac:dyDescent="0.25">
      <c r="B4" s="29" t="s">
        <v>134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6" spans="1:17" ht="15.75" x14ac:dyDescent="0.25">
      <c r="A6" s="3"/>
      <c r="B6" s="3"/>
      <c r="C6" s="3" t="s">
        <v>135</v>
      </c>
      <c r="D6" s="3"/>
      <c r="E6" s="3"/>
      <c r="F6" s="3" t="s">
        <v>19</v>
      </c>
      <c r="H6" s="3" t="s">
        <v>136</v>
      </c>
      <c r="K6" s="3" t="s">
        <v>18</v>
      </c>
      <c r="L6" s="3"/>
      <c r="M6" s="3"/>
    </row>
    <row r="7" spans="1:17" ht="15.75" x14ac:dyDescent="0.25">
      <c r="A7" s="3" t="s">
        <v>137</v>
      </c>
      <c r="D7" s="3" t="s">
        <v>16</v>
      </c>
      <c r="F7" s="3" t="s">
        <v>17</v>
      </c>
    </row>
    <row r="9" spans="1:17" ht="31.5" x14ac:dyDescent="0.25">
      <c r="A9" s="1" t="s">
        <v>8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4" t="s">
        <v>12</v>
      </c>
      <c r="I9" s="1" t="s">
        <v>11</v>
      </c>
      <c r="J9" s="9" t="s">
        <v>9</v>
      </c>
      <c r="K9" s="1" t="s">
        <v>6</v>
      </c>
      <c r="L9" s="2" t="s">
        <v>7</v>
      </c>
      <c r="M9" s="4" t="s">
        <v>10</v>
      </c>
      <c r="N9" s="4" t="s">
        <v>9</v>
      </c>
    </row>
    <row r="10" spans="1:17" ht="16.899999999999999" customHeight="1" x14ac:dyDescent="0.3">
      <c r="A10" s="5">
        <v>1</v>
      </c>
      <c r="B10" s="13" t="s">
        <v>20</v>
      </c>
      <c r="C10" s="13" t="s">
        <v>21</v>
      </c>
      <c r="D10" s="7">
        <v>28</v>
      </c>
      <c r="E10" s="7">
        <v>18</v>
      </c>
      <c r="F10" s="7">
        <v>23</v>
      </c>
      <c r="G10" s="7">
        <f t="shared" ref="G10:G41" si="0">((D10+E10+F10)/6)</f>
        <v>11.5</v>
      </c>
      <c r="H10" s="7">
        <f t="shared" ref="H10:H41" si="1">ROUNDUP(G10,0)</f>
        <v>12</v>
      </c>
      <c r="I10" s="7">
        <v>10</v>
      </c>
      <c r="J10" s="8">
        <f t="shared" ref="J10:J47" si="2">(H10+I10)</f>
        <v>22</v>
      </c>
      <c r="K10" s="7">
        <v>15</v>
      </c>
      <c r="L10" s="7">
        <v>10</v>
      </c>
      <c r="M10" s="8">
        <f t="shared" ref="M10:M41" si="3">(K10+L10)</f>
        <v>25</v>
      </c>
      <c r="N10" s="8">
        <f t="shared" ref="N10:N41" si="4">(J10+M10)</f>
        <v>47</v>
      </c>
    </row>
    <row r="11" spans="1:17" ht="16.899999999999999" customHeight="1" x14ac:dyDescent="0.3">
      <c r="A11" s="5">
        <v>2</v>
      </c>
      <c r="B11" s="13" t="s">
        <v>22</v>
      </c>
      <c r="C11" s="13" t="s">
        <v>23</v>
      </c>
      <c r="D11" s="7">
        <v>22</v>
      </c>
      <c r="E11" s="7">
        <v>18</v>
      </c>
      <c r="F11" s="7">
        <v>25</v>
      </c>
      <c r="G11" s="7">
        <f t="shared" si="0"/>
        <v>10.833333333333334</v>
      </c>
      <c r="H11" s="7">
        <f t="shared" si="1"/>
        <v>11</v>
      </c>
      <c r="I11" s="7">
        <v>10</v>
      </c>
      <c r="J11" s="8">
        <f t="shared" si="2"/>
        <v>21</v>
      </c>
      <c r="K11" s="7">
        <v>15</v>
      </c>
      <c r="L11" s="7">
        <v>9</v>
      </c>
      <c r="M11" s="8">
        <f t="shared" si="3"/>
        <v>24</v>
      </c>
      <c r="N11" s="8">
        <f t="shared" si="4"/>
        <v>45</v>
      </c>
    </row>
    <row r="12" spans="1:17" ht="16.899999999999999" customHeight="1" x14ac:dyDescent="0.3">
      <c r="A12" s="5">
        <v>3</v>
      </c>
      <c r="B12" s="13" t="s">
        <v>24</v>
      </c>
      <c r="C12" s="13" t="s">
        <v>25</v>
      </c>
      <c r="D12" s="7">
        <v>29</v>
      </c>
      <c r="E12" s="7">
        <v>26</v>
      </c>
      <c r="F12" s="7">
        <v>28</v>
      </c>
      <c r="G12" s="7">
        <f t="shared" si="0"/>
        <v>13.833333333333334</v>
      </c>
      <c r="H12" s="7">
        <f t="shared" si="1"/>
        <v>14</v>
      </c>
      <c r="I12" s="7">
        <v>10</v>
      </c>
      <c r="J12" s="8">
        <f t="shared" si="2"/>
        <v>24</v>
      </c>
      <c r="K12" s="7">
        <v>15</v>
      </c>
      <c r="L12" s="7">
        <v>9</v>
      </c>
      <c r="M12" s="8">
        <f>(K12+L12)</f>
        <v>24</v>
      </c>
      <c r="N12" s="8">
        <f t="shared" si="4"/>
        <v>48</v>
      </c>
    </row>
    <row r="13" spans="1:17" ht="16.899999999999999" customHeight="1" x14ac:dyDescent="0.3">
      <c r="A13" s="5">
        <v>4</v>
      </c>
      <c r="B13" s="13" t="s">
        <v>26</v>
      </c>
      <c r="C13" s="13" t="s">
        <v>27</v>
      </c>
      <c r="D13" s="7">
        <v>20</v>
      </c>
      <c r="E13" s="7">
        <v>0</v>
      </c>
      <c r="F13" s="7">
        <v>12</v>
      </c>
      <c r="G13" s="7">
        <f t="shared" si="0"/>
        <v>5.333333333333333</v>
      </c>
      <c r="H13" s="7">
        <f t="shared" si="1"/>
        <v>6</v>
      </c>
      <c r="I13" s="7">
        <v>10</v>
      </c>
      <c r="J13" s="8">
        <f t="shared" si="2"/>
        <v>16</v>
      </c>
      <c r="K13" s="7">
        <v>15</v>
      </c>
      <c r="L13" s="7">
        <v>9</v>
      </c>
      <c r="M13" s="8">
        <f t="shared" si="3"/>
        <v>24</v>
      </c>
      <c r="N13" s="8">
        <f t="shared" si="4"/>
        <v>40</v>
      </c>
    </row>
    <row r="14" spans="1:17" ht="16.899999999999999" customHeight="1" x14ac:dyDescent="0.3">
      <c r="A14" s="5">
        <v>5</v>
      </c>
      <c r="B14" s="13" t="s">
        <v>28</v>
      </c>
      <c r="C14" s="13" t="s">
        <v>29</v>
      </c>
      <c r="D14" s="7">
        <v>18</v>
      </c>
      <c r="E14" s="7">
        <v>15</v>
      </c>
      <c r="F14" s="7">
        <v>15</v>
      </c>
      <c r="G14" s="7">
        <f t="shared" si="0"/>
        <v>8</v>
      </c>
      <c r="H14" s="7">
        <f t="shared" si="1"/>
        <v>8</v>
      </c>
      <c r="I14" s="7">
        <v>10</v>
      </c>
      <c r="J14" s="8">
        <f t="shared" si="2"/>
        <v>18</v>
      </c>
      <c r="K14" s="7">
        <v>15</v>
      </c>
      <c r="L14" s="7">
        <v>9</v>
      </c>
      <c r="M14" s="8">
        <f t="shared" si="3"/>
        <v>24</v>
      </c>
      <c r="N14" s="8">
        <f t="shared" si="4"/>
        <v>42</v>
      </c>
    </row>
    <row r="15" spans="1:17" ht="16.899999999999999" customHeight="1" x14ac:dyDescent="0.3">
      <c r="A15" s="5">
        <v>6</v>
      </c>
      <c r="B15" s="13" t="s">
        <v>30</v>
      </c>
      <c r="C15" s="13" t="s">
        <v>31</v>
      </c>
      <c r="D15" s="7">
        <v>29</v>
      </c>
      <c r="E15" s="7">
        <v>27</v>
      </c>
      <c r="F15" s="7">
        <v>24</v>
      </c>
      <c r="G15" s="7">
        <f t="shared" si="0"/>
        <v>13.333333333333334</v>
      </c>
      <c r="H15" s="7">
        <f t="shared" si="1"/>
        <v>14</v>
      </c>
      <c r="I15" s="7">
        <v>10</v>
      </c>
      <c r="J15" s="8">
        <f t="shared" si="2"/>
        <v>24</v>
      </c>
      <c r="K15" s="7">
        <v>15</v>
      </c>
      <c r="L15" s="7">
        <v>10</v>
      </c>
      <c r="M15" s="8">
        <f t="shared" si="3"/>
        <v>25</v>
      </c>
      <c r="N15" s="8">
        <f t="shared" si="4"/>
        <v>49</v>
      </c>
    </row>
    <row r="16" spans="1:17" ht="16.899999999999999" customHeight="1" x14ac:dyDescent="0.3">
      <c r="A16" s="5">
        <v>7</v>
      </c>
      <c r="B16" s="13" t="s">
        <v>32</v>
      </c>
      <c r="C16" s="13" t="s">
        <v>33</v>
      </c>
      <c r="D16" s="7">
        <v>26</v>
      </c>
      <c r="E16" s="7">
        <v>15</v>
      </c>
      <c r="F16" s="7">
        <v>28</v>
      </c>
      <c r="G16" s="7">
        <f t="shared" si="0"/>
        <v>11.5</v>
      </c>
      <c r="H16" s="7">
        <f t="shared" si="1"/>
        <v>12</v>
      </c>
      <c r="I16" s="7">
        <v>10</v>
      </c>
      <c r="J16" s="8">
        <f t="shared" si="2"/>
        <v>22</v>
      </c>
      <c r="K16" s="7">
        <v>15</v>
      </c>
      <c r="L16" s="7">
        <v>9</v>
      </c>
      <c r="M16" s="8">
        <f t="shared" si="3"/>
        <v>24</v>
      </c>
      <c r="N16" s="8">
        <f t="shared" si="4"/>
        <v>46</v>
      </c>
    </row>
    <row r="17" spans="1:14" ht="16.899999999999999" customHeight="1" x14ac:dyDescent="0.3">
      <c r="A17" s="5">
        <v>8</v>
      </c>
      <c r="B17" s="13" t="s">
        <v>34</v>
      </c>
      <c r="C17" s="13" t="s">
        <v>35</v>
      </c>
      <c r="D17" s="7">
        <v>27</v>
      </c>
      <c r="E17" s="7">
        <v>15</v>
      </c>
      <c r="F17" s="7">
        <v>14</v>
      </c>
      <c r="G17" s="7">
        <f t="shared" si="0"/>
        <v>9.3333333333333339</v>
      </c>
      <c r="H17" s="7">
        <f t="shared" si="1"/>
        <v>10</v>
      </c>
      <c r="I17" s="7">
        <v>10</v>
      </c>
      <c r="J17" s="8">
        <f t="shared" si="2"/>
        <v>20</v>
      </c>
      <c r="K17" s="7">
        <v>15</v>
      </c>
      <c r="L17" s="7">
        <v>9</v>
      </c>
      <c r="M17" s="8">
        <f t="shared" si="3"/>
        <v>24</v>
      </c>
      <c r="N17" s="8">
        <f t="shared" si="4"/>
        <v>44</v>
      </c>
    </row>
    <row r="18" spans="1:14" ht="16.899999999999999" customHeight="1" x14ac:dyDescent="0.3">
      <c r="A18" s="5">
        <v>9</v>
      </c>
      <c r="B18" s="13" t="s">
        <v>36</v>
      </c>
      <c r="C18" s="13" t="s">
        <v>37</v>
      </c>
      <c r="D18" s="7">
        <v>22</v>
      </c>
      <c r="E18" s="7">
        <v>18</v>
      </c>
      <c r="F18" s="7">
        <v>21</v>
      </c>
      <c r="G18" s="7">
        <f t="shared" si="0"/>
        <v>10.166666666666666</v>
      </c>
      <c r="H18" s="7">
        <f t="shared" si="1"/>
        <v>11</v>
      </c>
      <c r="I18" s="7">
        <v>10</v>
      </c>
      <c r="J18" s="8">
        <f t="shared" si="2"/>
        <v>21</v>
      </c>
      <c r="K18" s="7">
        <v>15</v>
      </c>
      <c r="L18" s="7">
        <v>10</v>
      </c>
      <c r="M18" s="8">
        <f t="shared" si="3"/>
        <v>25</v>
      </c>
      <c r="N18" s="8">
        <f t="shared" si="4"/>
        <v>46</v>
      </c>
    </row>
    <row r="19" spans="1:14" ht="16.899999999999999" customHeight="1" x14ac:dyDescent="0.3">
      <c r="A19" s="5">
        <v>10</v>
      </c>
      <c r="B19" s="13" t="s">
        <v>38</v>
      </c>
      <c r="C19" s="13" t="s">
        <v>39</v>
      </c>
      <c r="D19" s="7">
        <v>20</v>
      </c>
      <c r="E19" s="7">
        <v>9</v>
      </c>
      <c r="F19" s="7">
        <v>28</v>
      </c>
      <c r="G19" s="7">
        <f t="shared" si="0"/>
        <v>9.5</v>
      </c>
      <c r="H19" s="7">
        <f t="shared" si="1"/>
        <v>10</v>
      </c>
      <c r="I19" s="7">
        <v>10</v>
      </c>
      <c r="J19" s="8">
        <f t="shared" si="2"/>
        <v>20</v>
      </c>
      <c r="K19" s="7">
        <v>15</v>
      </c>
      <c r="L19" s="7">
        <v>9</v>
      </c>
      <c r="M19" s="8">
        <f t="shared" si="3"/>
        <v>24</v>
      </c>
      <c r="N19" s="8">
        <f t="shared" si="4"/>
        <v>44</v>
      </c>
    </row>
    <row r="20" spans="1:14" ht="16.899999999999999" customHeight="1" x14ac:dyDescent="0.3">
      <c r="A20" s="5">
        <v>11</v>
      </c>
      <c r="B20" s="13" t="s">
        <v>40</v>
      </c>
      <c r="C20" s="13" t="s">
        <v>41</v>
      </c>
      <c r="D20" s="7">
        <v>25</v>
      </c>
      <c r="E20" s="7">
        <v>22</v>
      </c>
      <c r="F20" s="7">
        <v>27</v>
      </c>
      <c r="G20" s="7">
        <f t="shared" si="0"/>
        <v>12.333333333333334</v>
      </c>
      <c r="H20" s="7">
        <f t="shared" si="1"/>
        <v>13</v>
      </c>
      <c r="I20" s="7">
        <v>10</v>
      </c>
      <c r="J20" s="8">
        <f t="shared" si="2"/>
        <v>23</v>
      </c>
      <c r="K20" s="7">
        <v>15</v>
      </c>
      <c r="L20" s="7">
        <v>10</v>
      </c>
      <c r="M20" s="8">
        <f t="shared" si="3"/>
        <v>25</v>
      </c>
      <c r="N20" s="8">
        <f t="shared" si="4"/>
        <v>48</v>
      </c>
    </row>
    <row r="21" spans="1:14" ht="16.899999999999999" customHeight="1" x14ac:dyDescent="0.3">
      <c r="A21" s="5">
        <v>12</v>
      </c>
      <c r="B21" s="13" t="s">
        <v>42</v>
      </c>
      <c r="C21" s="13" t="s">
        <v>43</v>
      </c>
      <c r="D21" s="7">
        <v>23</v>
      </c>
      <c r="E21" s="7">
        <v>7</v>
      </c>
      <c r="F21" s="7">
        <v>17</v>
      </c>
      <c r="G21" s="7">
        <f t="shared" si="0"/>
        <v>7.833333333333333</v>
      </c>
      <c r="H21" s="7">
        <f t="shared" si="1"/>
        <v>8</v>
      </c>
      <c r="I21" s="7">
        <v>10</v>
      </c>
      <c r="J21" s="8">
        <f t="shared" si="2"/>
        <v>18</v>
      </c>
      <c r="K21" s="7">
        <v>15</v>
      </c>
      <c r="L21" s="7">
        <v>9</v>
      </c>
      <c r="M21" s="8">
        <f t="shared" si="3"/>
        <v>24</v>
      </c>
      <c r="N21" s="8">
        <f t="shared" si="4"/>
        <v>42</v>
      </c>
    </row>
    <row r="22" spans="1:14" ht="16.899999999999999" customHeight="1" x14ac:dyDescent="0.3">
      <c r="A22" s="5">
        <v>13</v>
      </c>
      <c r="B22" s="13" t="s">
        <v>44</v>
      </c>
      <c r="C22" s="13" t="s">
        <v>45</v>
      </c>
      <c r="D22" s="7">
        <v>30</v>
      </c>
      <c r="E22" s="7">
        <v>15</v>
      </c>
      <c r="F22" s="7">
        <v>14</v>
      </c>
      <c r="G22" s="7">
        <f t="shared" si="0"/>
        <v>9.8333333333333339</v>
      </c>
      <c r="H22" s="7">
        <f t="shared" si="1"/>
        <v>10</v>
      </c>
      <c r="I22" s="7">
        <v>10</v>
      </c>
      <c r="J22" s="8">
        <f t="shared" si="2"/>
        <v>20</v>
      </c>
      <c r="K22" s="7">
        <v>15</v>
      </c>
      <c r="L22" s="7">
        <v>10</v>
      </c>
      <c r="M22" s="8">
        <f t="shared" si="3"/>
        <v>25</v>
      </c>
      <c r="N22" s="8">
        <f t="shared" si="4"/>
        <v>45</v>
      </c>
    </row>
    <row r="23" spans="1:14" ht="16.899999999999999" customHeight="1" x14ac:dyDescent="0.3">
      <c r="A23" s="5">
        <v>14</v>
      </c>
      <c r="B23" s="13" t="s">
        <v>46</v>
      </c>
      <c r="C23" s="13" t="s">
        <v>47</v>
      </c>
      <c r="D23" s="7">
        <v>26</v>
      </c>
      <c r="E23" s="7">
        <v>0</v>
      </c>
      <c r="F23" s="7">
        <v>19</v>
      </c>
      <c r="G23" s="7">
        <f t="shared" si="0"/>
        <v>7.5</v>
      </c>
      <c r="H23" s="7">
        <f t="shared" si="1"/>
        <v>8</v>
      </c>
      <c r="I23" s="7">
        <v>10</v>
      </c>
      <c r="J23" s="8">
        <f t="shared" si="2"/>
        <v>18</v>
      </c>
      <c r="K23" s="7">
        <v>15</v>
      </c>
      <c r="L23" s="7">
        <v>9</v>
      </c>
      <c r="M23" s="8">
        <f t="shared" si="3"/>
        <v>24</v>
      </c>
      <c r="N23" s="8">
        <f t="shared" si="4"/>
        <v>42</v>
      </c>
    </row>
    <row r="24" spans="1:14" ht="16.899999999999999" customHeight="1" x14ac:dyDescent="0.3">
      <c r="A24" s="5">
        <v>15</v>
      </c>
      <c r="B24" s="13" t="s">
        <v>48</v>
      </c>
      <c r="C24" s="13" t="s">
        <v>49</v>
      </c>
      <c r="D24" s="7">
        <v>18</v>
      </c>
      <c r="E24" s="7">
        <v>8</v>
      </c>
      <c r="F24" s="7">
        <v>9</v>
      </c>
      <c r="G24" s="7">
        <f t="shared" si="0"/>
        <v>5.833333333333333</v>
      </c>
      <c r="H24" s="7">
        <f t="shared" si="1"/>
        <v>6</v>
      </c>
      <c r="I24" s="7">
        <v>10</v>
      </c>
      <c r="J24" s="8">
        <f t="shared" si="2"/>
        <v>16</v>
      </c>
      <c r="K24" s="7">
        <v>15</v>
      </c>
      <c r="L24" s="7">
        <v>9</v>
      </c>
      <c r="M24" s="8">
        <f t="shared" si="3"/>
        <v>24</v>
      </c>
      <c r="N24" s="8">
        <f t="shared" si="4"/>
        <v>40</v>
      </c>
    </row>
    <row r="25" spans="1:14" ht="16.899999999999999" customHeight="1" x14ac:dyDescent="0.3">
      <c r="A25" s="5">
        <v>16</v>
      </c>
      <c r="B25" s="13" t="s">
        <v>50</v>
      </c>
      <c r="C25" s="13" t="s">
        <v>51</v>
      </c>
      <c r="D25" s="7">
        <v>28</v>
      </c>
      <c r="E25" s="7">
        <v>21</v>
      </c>
      <c r="F25" s="7">
        <v>23</v>
      </c>
      <c r="G25" s="7">
        <f t="shared" si="0"/>
        <v>12</v>
      </c>
      <c r="H25" s="7">
        <f t="shared" si="1"/>
        <v>12</v>
      </c>
      <c r="I25" s="7">
        <v>10</v>
      </c>
      <c r="J25" s="8">
        <f t="shared" si="2"/>
        <v>22</v>
      </c>
      <c r="K25" s="7">
        <v>15</v>
      </c>
      <c r="L25" s="7">
        <v>10</v>
      </c>
      <c r="M25" s="8">
        <f t="shared" si="3"/>
        <v>25</v>
      </c>
      <c r="N25" s="8">
        <f t="shared" si="4"/>
        <v>47</v>
      </c>
    </row>
    <row r="26" spans="1:14" ht="16.899999999999999" customHeight="1" x14ac:dyDescent="0.3">
      <c r="A26" s="5">
        <v>17</v>
      </c>
      <c r="B26" s="13" t="s">
        <v>52</v>
      </c>
      <c r="C26" s="13" t="s">
        <v>53</v>
      </c>
      <c r="D26" s="7">
        <v>22</v>
      </c>
      <c r="E26" s="7">
        <v>18</v>
      </c>
      <c r="F26" s="7">
        <v>23</v>
      </c>
      <c r="G26" s="7">
        <f t="shared" si="0"/>
        <v>10.5</v>
      </c>
      <c r="H26" s="7">
        <f t="shared" si="1"/>
        <v>11</v>
      </c>
      <c r="I26" s="7">
        <v>10</v>
      </c>
      <c r="J26" s="8">
        <f t="shared" si="2"/>
        <v>21</v>
      </c>
      <c r="K26" s="7">
        <v>15</v>
      </c>
      <c r="L26" s="7">
        <v>9</v>
      </c>
      <c r="M26" s="8">
        <f t="shared" si="3"/>
        <v>24</v>
      </c>
      <c r="N26" s="8">
        <f t="shared" si="4"/>
        <v>45</v>
      </c>
    </row>
    <row r="27" spans="1:14" ht="16.899999999999999" customHeight="1" x14ac:dyDescent="0.3">
      <c r="A27" s="5">
        <v>18</v>
      </c>
      <c r="B27" s="13" t="s">
        <v>54</v>
      </c>
      <c r="C27" s="13" t="s">
        <v>55</v>
      </c>
      <c r="D27" s="7">
        <v>24</v>
      </c>
      <c r="E27" s="7">
        <v>19</v>
      </c>
      <c r="F27" s="7">
        <v>16</v>
      </c>
      <c r="G27" s="7">
        <f t="shared" si="0"/>
        <v>9.8333333333333339</v>
      </c>
      <c r="H27" s="7">
        <f t="shared" si="1"/>
        <v>10</v>
      </c>
      <c r="I27" s="7">
        <v>10</v>
      </c>
      <c r="J27" s="8">
        <f t="shared" si="2"/>
        <v>20</v>
      </c>
      <c r="K27" s="7">
        <v>15</v>
      </c>
      <c r="L27" s="7">
        <v>10</v>
      </c>
      <c r="M27" s="8">
        <f t="shared" si="3"/>
        <v>25</v>
      </c>
      <c r="N27" s="8">
        <f t="shared" si="4"/>
        <v>45</v>
      </c>
    </row>
    <row r="28" spans="1:14" ht="16.899999999999999" customHeight="1" x14ac:dyDescent="0.3">
      <c r="A28" s="5">
        <v>19</v>
      </c>
      <c r="B28" s="13" t="s">
        <v>56</v>
      </c>
      <c r="C28" s="13" t="s">
        <v>57</v>
      </c>
      <c r="D28" s="7">
        <v>11</v>
      </c>
      <c r="E28" s="7">
        <v>8</v>
      </c>
      <c r="F28" s="7">
        <v>12</v>
      </c>
      <c r="G28" s="7">
        <f t="shared" si="0"/>
        <v>5.166666666666667</v>
      </c>
      <c r="H28" s="7">
        <f t="shared" si="1"/>
        <v>6</v>
      </c>
      <c r="I28" s="7">
        <v>10</v>
      </c>
      <c r="J28" s="8">
        <f t="shared" si="2"/>
        <v>16</v>
      </c>
      <c r="K28" s="7">
        <v>15</v>
      </c>
      <c r="L28" s="7">
        <v>9</v>
      </c>
      <c r="M28" s="8">
        <f t="shared" si="3"/>
        <v>24</v>
      </c>
      <c r="N28" s="8">
        <f t="shared" si="4"/>
        <v>40</v>
      </c>
    </row>
    <row r="29" spans="1:14" ht="16.899999999999999" customHeight="1" x14ac:dyDescent="0.3">
      <c r="A29" s="5">
        <v>20</v>
      </c>
      <c r="B29" s="13" t="s">
        <v>58</v>
      </c>
      <c r="C29" s="13" t="s">
        <v>59</v>
      </c>
      <c r="D29" s="7">
        <v>29</v>
      </c>
      <c r="E29" s="7">
        <v>16</v>
      </c>
      <c r="F29" s="7">
        <v>25</v>
      </c>
      <c r="G29" s="7">
        <f t="shared" si="0"/>
        <v>11.666666666666666</v>
      </c>
      <c r="H29" s="7">
        <f t="shared" si="1"/>
        <v>12</v>
      </c>
      <c r="I29" s="7">
        <v>10</v>
      </c>
      <c r="J29" s="8">
        <f t="shared" si="2"/>
        <v>22</v>
      </c>
      <c r="K29" s="7">
        <v>15</v>
      </c>
      <c r="L29" s="7">
        <v>10</v>
      </c>
      <c r="M29" s="8">
        <f t="shared" si="3"/>
        <v>25</v>
      </c>
      <c r="N29" s="8">
        <f t="shared" si="4"/>
        <v>47</v>
      </c>
    </row>
    <row r="30" spans="1:14" ht="16.899999999999999" customHeight="1" x14ac:dyDescent="0.3">
      <c r="A30" s="5">
        <v>31</v>
      </c>
      <c r="B30" s="13" t="s">
        <v>80</v>
      </c>
      <c r="C30" s="13" t="s">
        <v>81</v>
      </c>
      <c r="D30" s="7">
        <v>30</v>
      </c>
      <c r="E30" s="7">
        <v>22</v>
      </c>
      <c r="F30" s="7">
        <v>30</v>
      </c>
      <c r="G30" s="7">
        <f t="shared" si="0"/>
        <v>13.666666666666666</v>
      </c>
      <c r="H30" s="7">
        <f t="shared" si="1"/>
        <v>14</v>
      </c>
      <c r="I30" s="7">
        <v>10</v>
      </c>
      <c r="J30" s="8">
        <f t="shared" si="2"/>
        <v>24</v>
      </c>
      <c r="K30" s="7">
        <v>15</v>
      </c>
      <c r="L30" s="7">
        <v>10</v>
      </c>
      <c r="M30" s="8">
        <f t="shared" si="3"/>
        <v>25</v>
      </c>
      <c r="N30" s="8">
        <f t="shared" si="4"/>
        <v>49</v>
      </c>
    </row>
    <row r="31" spans="1:14" ht="16.899999999999999" customHeight="1" x14ac:dyDescent="0.3">
      <c r="A31" s="5">
        <v>21</v>
      </c>
      <c r="B31" s="13" t="s">
        <v>60</v>
      </c>
      <c r="C31" s="13" t="s">
        <v>61</v>
      </c>
      <c r="D31" s="7">
        <v>30</v>
      </c>
      <c r="E31" s="7">
        <v>30</v>
      </c>
      <c r="F31" s="7">
        <v>30</v>
      </c>
      <c r="G31" s="7">
        <f t="shared" si="0"/>
        <v>15</v>
      </c>
      <c r="H31" s="7">
        <f t="shared" si="1"/>
        <v>15</v>
      </c>
      <c r="I31" s="7">
        <v>10</v>
      </c>
      <c r="J31" s="8">
        <f t="shared" si="2"/>
        <v>25</v>
      </c>
      <c r="K31" s="7">
        <v>15</v>
      </c>
      <c r="L31" s="7">
        <v>10</v>
      </c>
      <c r="M31" s="8">
        <f t="shared" si="3"/>
        <v>25</v>
      </c>
      <c r="N31" s="8">
        <f t="shared" si="4"/>
        <v>50</v>
      </c>
    </row>
    <row r="32" spans="1:14" s="22" customFormat="1" ht="16.899999999999999" customHeight="1" x14ac:dyDescent="0.3">
      <c r="A32" s="23">
        <v>22</v>
      </c>
      <c r="B32" s="24" t="s">
        <v>62</v>
      </c>
      <c r="C32" s="24" t="s">
        <v>63</v>
      </c>
      <c r="D32" s="19">
        <v>0</v>
      </c>
      <c r="E32" s="19">
        <v>0</v>
      </c>
      <c r="F32" s="19">
        <v>0</v>
      </c>
      <c r="G32" s="19">
        <f t="shared" si="0"/>
        <v>0</v>
      </c>
      <c r="H32" s="19">
        <f t="shared" si="1"/>
        <v>0</v>
      </c>
      <c r="I32" s="19">
        <v>0</v>
      </c>
      <c r="J32" s="25">
        <f t="shared" si="2"/>
        <v>0</v>
      </c>
      <c r="K32" s="19">
        <v>0</v>
      </c>
      <c r="L32" s="19">
        <v>0</v>
      </c>
      <c r="M32" s="25">
        <f t="shared" si="3"/>
        <v>0</v>
      </c>
      <c r="N32" s="25">
        <f t="shared" si="4"/>
        <v>0</v>
      </c>
    </row>
    <row r="33" spans="1:14" ht="16.899999999999999" customHeight="1" x14ac:dyDescent="0.3">
      <c r="A33" s="5">
        <v>23</v>
      </c>
      <c r="B33" s="13" t="s">
        <v>64</v>
      </c>
      <c r="C33" s="13" t="s">
        <v>65</v>
      </c>
      <c r="D33" s="7">
        <v>18</v>
      </c>
      <c r="E33" s="7">
        <v>19</v>
      </c>
      <c r="F33" s="7">
        <v>19</v>
      </c>
      <c r="G33" s="7">
        <f t="shared" si="0"/>
        <v>9.3333333333333339</v>
      </c>
      <c r="H33" s="7">
        <f t="shared" si="1"/>
        <v>10</v>
      </c>
      <c r="I33" s="7">
        <v>10</v>
      </c>
      <c r="J33" s="8">
        <f t="shared" si="2"/>
        <v>20</v>
      </c>
      <c r="K33" s="7">
        <v>15</v>
      </c>
      <c r="L33" s="7">
        <v>9</v>
      </c>
      <c r="M33" s="8">
        <f t="shared" si="3"/>
        <v>24</v>
      </c>
      <c r="N33" s="8">
        <f t="shared" si="4"/>
        <v>44</v>
      </c>
    </row>
    <row r="34" spans="1:14" ht="16.899999999999999" customHeight="1" x14ac:dyDescent="0.3">
      <c r="A34" s="5">
        <v>24</v>
      </c>
      <c r="B34" s="13" t="s">
        <v>66</v>
      </c>
      <c r="C34" s="13" t="s">
        <v>67</v>
      </c>
      <c r="D34" s="7">
        <v>23</v>
      </c>
      <c r="E34" s="7">
        <v>20</v>
      </c>
      <c r="F34" s="7">
        <v>11</v>
      </c>
      <c r="G34" s="7">
        <f t="shared" si="0"/>
        <v>9</v>
      </c>
      <c r="H34" s="7">
        <f t="shared" si="1"/>
        <v>9</v>
      </c>
      <c r="I34" s="7">
        <v>10</v>
      </c>
      <c r="J34" s="8">
        <f t="shared" si="2"/>
        <v>19</v>
      </c>
      <c r="K34" s="7">
        <v>15</v>
      </c>
      <c r="L34" s="7">
        <v>10</v>
      </c>
      <c r="M34" s="8">
        <f t="shared" si="3"/>
        <v>25</v>
      </c>
      <c r="N34" s="8">
        <f t="shared" si="4"/>
        <v>44</v>
      </c>
    </row>
    <row r="35" spans="1:14" ht="18.75" x14ac:dyDescent="0.3">
      <c r="A35" s="5">
        <v>26</v>
      </c>
      <c r="B35" s="13" t="s">
        <v>70</v>
      </c>
      <c r="C35" s="13" t="s">
        <v>71</v>
      </c>
      <c r="D35" s="7">
        <v>24</v>
      </c>
      <c r="E35" s="7">
        <v>21</v>
      </c>
      <c r="F35" s="7">
        <v>16</v>
      </c>
      <c r="G35" s="7">
        <f t="shared" si="0"/>
        <v>10.166666666666666</v>
      </c>
      <c r="H35" s="7">
        <f t="shared" si="1"/>
        <v>11</v>
      </c>
      <c r="I35" s="7">
        <v>10</v>
      </c>
      <c r="J35" s="8">
        <f t="shared" si="2"/>
        <v>21</v>
      </c>
      <c r="K35" s="7">
        <v>15</v>
      </c>
      <c r="L35" s="7">
        <v>9</v>
      </c>
      <c r="M35" s="8">
        <f t="shared" si="3"/>
        <v>24</v>
      </c>
      <c r="N35" s="8">
        <f t="shared" si="4"/>
        <v>45</v>
      </c>
    </row>
    <row r="36" spans="1:14" ht="18.75" x14ac:dyDescent="0.3">
      <c r="A36" s="5">
        <v>25</v>
      </c>
      <c r="B36" s="13" t="s">
        <v>68</v>
      </c>
      <c r="C36" s="13" t="s">
        <v>69</v>
      </c>
      <c r="D36" s="7">
        <v>30</v>
      </c>
      <c r="E36" s="7">
        <v>29</v>
      </c>
      <c r="F36" s="7">
        <v>28</v>
      </c>
      <c r="G36" s="7">
        <f t="shared" si="0"/>
        <v>14.5</v>
      </c>
      <c r="H36" s="7">
        <f t="shared" si="1"/>
        <v>15</v>
      </c>
      <c r="I36" s="7">
        <v>10</v>
      </c>
      <c r="J36" s="8">
        <f t="shared" si="2"/>
        <v>25</v>
      </c>
      <c r="K36" s="7">
        <v>15</v>
      </c>
      <c r="L36" s="7">
        <v>10</v>
      </c>
      <c r="M36" s="8">
        <f t="shared" si="3"/>
        <v>25</v>
      </c>
      <c r="N36" s="8">
        <f t="shared" si="4"/>
        <v>50</v>
      </c>
    </row>
    <row r="37" spans="1:14" ht="15" customHeight="1" x14ac:dyDescent="0.3">
      <c r="A37" s="5">
        <v>27</v>
      </c>
      <c r="B37" s="13" t="s">
        <v>72</v>
      </c>
      <c r="C37" s="13" t="s">
        <v>73</v>
      </c>
      <c r="D37" s="7">
        <v>17</v>
      </c>
      <c r="E37" s="7">
        <v>25</v>
      </c>
      <c r="F37" s="7">
        <v>19</v>
      </c>
      <c r="G37" s="7">
        <f t="shared" si="0"/>
        <v>10.166666666666666</v>
      </c>
      <c r="H37" s="7">
        <f t="shared" si="1"/>
        <v>11</v>
      </c>
      <c r="I37" s="7">
        <v>10</v>
      </c>
      <c r="J37" s="8">
        <f t="shared" si="2"/>
        <v>21</v>
      </c>
      <c r="K37" s="7">
        <v>15</v>
      </c>
      <c r="L37" s="7">
        <v>10</v>
      </c>
      <c r="M37" s="8">
        <f t="shared" si="3"/>
        <v>25</v>
      </c>
      <c r="N37" s="8">
        <f t="shared" si="4"/>
        <v>46</v>
      </c>
    </row>
    <row r="38" spans="1:14" ht="15" customHeight="1" x14ac:dyDescent="0.3">
      <c r="A38" s="5">
        <v>28</v>
      </c>
      <c r="B38" s="13" t="s">
        <v>74</v>
      </c>
      <c r="C38" s="13" t="s">
        <v>75</v>
      </c>
      <c r="D38" s="7">
        <v>7</v>
      </c>
      <c r="E38" s="7">
        <v>13</v>
      </c>
      <c r="F38" s="7">
        <v>11</v>
      </c>
      <c r="G38" s="7">
        <f t="shared" si="0"/>
        <v>5.166666666666667</v>
      </c>
      <c r="H38" s="7">
        <f t="shared" si="1"/>
        <v>6</v>
      </c>
      <c r="I38" s="7">
        <v>10</v>
      </c>
      <c r="J38" s="8">
        <f t="shared" si="2"/>
        <v>16</v>
      </c>
      <c r="K38" s="7">
        <v>15</v>
      </c>
      <c r="L38" s="7">
        <v>9</v>
      </c>
      <c r="M38" s="8">
        <f t="shared" si="3"/>
        <v>24</v>
      </c>
      <c r="N38" s="8">
        <f t="shared" si="4"/>
        <v>40</v>
      </c>
    </row>
    <row r="39" spans="1:14" ht="15" customHeight="1" x14ac:dyDescent="0.3">
      <c r="A39" s="5">
        <v>29</v>
      </c>
      <c r="B39" s="13" t="s">
        <v>76</v>
      </c>
      <c r="C39" s="13" t="s">
        <v>77</v>
      </c>
      <c r="D39" s="7">
        <v>23</v>
      </c>
      <c r="E39" s="7">
        <v>20</v>
      </c>
      <c r="F39" s="7">
        <v>27</v>
      </c>
      <c r="G39" s="7">
        <f t="shared" si="0"/>
        <v>11.666666666666666</v>
      </c>
      <c r="H39" s="7">
        <f t="shared" si="1"/>
        <v>12</v>
      </c>
      <c r="I39" s="7">
        <v>10</v>
      </c>
      <c r="J39" s="8">
        <f t="shared" si="2"/>
        <v>22</v>
      </c>
      <c r="K39" s="7">
        <v>15</v>
      </c>
      <c r="L39" s="7">
        <v>9</v>
      </c>
      <c r="M39" s="8">
        <f t="shared" si="3"/>
        <v>24</v>
      </c>
      <c r="N39" s="8">
        <f t="shared" si="4"/>
        <v>46</v>
      </c>
    </row>
    <row r="40" spans="1:14" s="6" customFormat="1" ht="15" customHeight="1" x14ac:dyDescent="0.3">
      <c r="A40" s="5">
        <v>30</v>
      </c>
      <c r="B40" s="13" t="s">
        <v>78</v>
      </c>
      <c r="C40" s="13" t="s">
        <v>79</v>
      </c>
      <c r="D40" s="7">
        <v>14</v>
      </c>
      <c r="E40" s="7">
        <v>28</v>
      </c>
      <c r="F40" s="7">
        <v>19</v>
      </c>
      <c r="G40" s="7">
        <f t="shared" si="0"/>
        <v>10.166666666666666</v>
      </c>
      <c r="H40" s="7">
        <f t="shared" si="1"/>
        <v>11</v>
      </c>
      <c r="I40" s="7">
        <v>10</v>
      </c>
      <c r="J40" s="8">
        <f t="shared" si="2"/>
        <v>21</v>
      </c>
      <c r="K40" s="7">
        <v>15</v>
      </c>
      <c r="L40" s="7">
        <v>10</v>
      </c>
      <c r="M40" s="8">
        <f t="shared" si="3"/>
        <v>25</v>
      </c>
      <c r="N40" s="8">
        <f t="shared" si="4"/>
        <v>46</v>
      </c>
    </row>
    <row r="41" spans="1:14" ht="15" customHeight="1" x14ac:dyDescent="0.3">
      <c r="A41" s="5">
        <v>32</v>
      </c>
      <c r="B41" s="13" t="s">
        <v>82</v>
      </c>
      <c r="C41" s="13" t="s">
        <v>83</v>
      </c>
      <c r="D41" s="7">
        <v>19</v>
      </c>
      <c r="E41" s="7">
        <v>24</v>
      </c>
      <c r="F41" s="7">
        <v>26</v>
      </c>
      <c r="G41" s="7">
        <f t="shared" si="0"/>
        <v>11.5</v>
      </c>
      <c r="H41" s="7">
        <f t="shared" si="1"/>
        <v>12</v>
      </c>
      <c r="I41" s="7">
        <v>10</v>
      </c>
      <c r="J41" s="8">
        <f t="shared" si="2"/>
        <v>22</v>
      </c>
      <c r="K41" s="7">
        <v>15</v>
      </c>
      <c r="L41" s="7">
        <v>10</v>
      </c>
      <c r="M41" s="8">
        <f t="shared" si="3"/>
        <v>25</v>
      </c>
      <c r="N41" s="8">
        <f t="shared" si="4"/>
        <v>47</v>
      </c>
    </row>
    <row r="42" spans="1:14" ht="15" customHeight="1" x14ac:dyDescent="0.3">
      <c r="A42" s="5">
        <v>33</v>
      </c>
      <c r="B42" s="13" t="s">
        <v>84</v>
      </c>
      <c r="C42" s="13" t="s">
        <v>85</v>
      </c>
      <c r="D42" s="7">
        <v>29</v>
      </c>
      <c r="E42" s="7">
        <v>30</v>
      </c>
      <c r="F42" s="7">
        <v>28</v>
      </c>
      <c r="G42" s="7">
        <f t="shared" ref="G42:G66" si="5">((D42+E42+F42)/6)</f>
        <v>14.5</v>
      </c>
      <c r="H42" s="7">
        <f t="shared" ref="H42:H66" si="6">ROUNDUP(G42,0)</f>
        <v>15</v>
      </c>
      <c r="I42" s="7">
        <v>10</v>
      </c>
      <c r="J42" s="8">
        <f t="shared" si="2"/>
        <v>25</v>
      </c>
      <c r="K42" s="7">
        <v>15</v>
      </c>
      <c r="L42" s="7">
        <v>10</v>
      </c>
      <c r="M42" s="8">
        <f t="shared" ref="M42:M66" si="7">(K42+L42)</f>
        <v>25</v>
      </c>
      <c r="N42" s="8">
        <f t="shared" ref="N42:N66" si="8">(J42+M42)</f>
        <v>50</v>
      </c>
    </row>
    <row r="43" spans="1:14" ht="15" customHeight="1" x14ac:dyDescent="0.3">
      <c r="A43" s="5">
        <v>34</v>
      </c>
      <c r="B43" s="13" t="s">
        <v>86</v>
      </c>
      <c r="C43" s="13" t="s">
        <v>87</v>
      </c>
      <c r="D43" s="7">
        <v>30</v>
      </c>
      <c r="E43" s="7">
        <v>30</v>
      </c>
      <c r="F43" s="7">
        <v>21</v>
      </c>
      <c r="G43" s="7">
        <f t="shared" si="5"/>
        <v>13.5</v>
      </c>
      <c r="H43" s="7">
        <f t="shared" si="6"/>
        <v>14</v>
      </c>
      <c r="I43" s="7">
        <v>10</v>
      </c>
      <c r="J43" s="8">
        <f t="shared" si="2"/>
        <v>24</v>
      </c>
      <c r="K43" s="7">
        <v>15</v>
      </c>
      <c r="L43" s="7">
        <v>10</v>
      </c>
      <c r="M43" s="8">
        <f t="shared" si="7"/>
        <v>25</v>
      </c>
      <c r="N43" s="8">
        <f t="shared" si="8"/>
        <v>49</v>
      </c>
    </row>
    <row r="44" spans="1:14" ht="15" customHeight="1" x14ac:dyDescent="0.3">
      <c r="A44" s="10">
        <v>35</v>
      </c>
      <c r="B44" s="14" t="s">
        <v>88</v>
      </c>
      <c r="C44" s="14" t="s">
        <v>89</v>
      </c>
      <c r="D44" s="11">
        <v>24</v>
      </c>
      <c r="E44" s="11">
        <v>13</v>
      </c>
      <c r="F44" s="11">
        <v>9</v>
      </c>
      <c r="G44" s="11">
        <f t="shared" si="5"/>
        <v>7.666666666666667</v>
      </c>
      <c r="H44" s="11">
        <f t="shared" si="6"/>
        <v>8</v>
      </c>
      <c r="I44" s="11">
        <v>10</v>
      </c>
      <c r="J44" s="12">
        <f t="shared" si="2"/>
        <v>18</v>
      </c>
      <c r="K44" s="11">
        <v>15</v>
      </c>
      <c r="L44" s="11">
        <v>9</v>
      </c>
      <c r="M44" s="12">
        <f t="shared" si="7"/>
        <v>24</v>
      </c>
      <c r="N44" s="12">
        <f t="shared" si="8"/>
        <v>42</v>
      </c>
    </row>
    <row r="45" spans="1:14" ht="18.75" x14ac:dyDescent="0.3">
      <c r="A45" s="5">
        <v>36</v>
      </c>
      <c r="B45" s="15" t="s">
        <v>90</v>
      </c>
      <c r="C45" s="15" t="s">
        <v>91</v>
      </c>
      <c r="D45" s="16">
        <v>25</v>
      </c>
      <c r="E45" s="16">
        <v>17</v>
      </c>
      <c r="F45" s="16">
        <v>12</v>
      </c>
      <c r="G45" s="11">
        <f t="shared" si="5"/>
        <v>9</v>
      </c>
      <c r="H45" s="11">
        <f t="shared" si="6"/>
        <v>9</v>
      </c>
      <c r="I45" s="11">
        <v>10</v>
      </c>
      <c r="J45" s="12">
        <f t="shared" si="2"/>
        <v>19</v>
      </c>
      <c r="K45" s="11">
        <v>15</v>
      </c>
      <c r="L45" s="16">
        <v>9</v>
      </c>
      <c r="M45" s="12">
        <f t="shared" si="7"/>
        <v>24</v>
      </c>
      <c r="N45" s="12">
        <f t="shared" si="8"/>
        <v>43</v>
      </c>
    </row>
    <row r="46" spans="1:14" ht="18.75" x14ac:dyDescent="0.3">
      <c r="A46" s="5">
        <v>37</v>
      </c>
      <c r="B46" s="15" t="s">
        <v>92</v>
      </c>
      <c r="C46" s="15" t="s">
        <v>93</v>
      </c>
      <c r="D46" s="16">
        <v>6</v>
      </c>
      <c r="E46" s="16">
        <v>3</v>
      </c>
      <c r="F46" s="16">
        <v>23</v>
      </c>
      <c r="G46" s="11">
        <f t="shared" si="5"/>
        <v>5.333333333333333</v>
      </c>
      <c r="H46" s="11">
        <f t="shared" si="6"/>
        <v>6</v>
      </c>
      <c r="I46" s="11">
        <v>10</v>
      </c>
      <c r="J46" s="12">
        <f t="shared" si="2"/>
        <v>16</v>
      </c>
      <c r="K46" s="11">
        <v>15</v>
      </c>
      <c r="L46" s="16">
        <v>9</v>
      </c>
      <c r="M46" s="12">
        <f t="shared" si="7"/>
        <v>24</v>
      </c>
      <c r="N46" s="12">
        <f t="shared" si="8"/>
        <v>40</v>
      </c>
    </row>
    <row r="47" spans="1:14" ht="18.75" x14ac:dyDescent="0.3">
      <c r="A47" s="5">
        <v>38</v>
      </c>
      <c r="B47" s="15" t="s">
        <v>94</v>
      </c>
      <c r="C47" s="15" t="s">
        <v>95</v>
      </c>
      <c r="D47" s="16">
        <v>27</v>
      </c>
      <c r="E47" s="16">
        <v>21</v>
      </c>
      <c r="F47" s="16">
        <v>16</v>
      </c>
      <c r="G47" s="11">
        <f t="shared" si="5"/>
        <v>10.666666666666666</v>
      </c>
      <c r="H47" s="11">
        <f t="shared" si="6"/>
        <v>11</v>
      </c>
      <c r="I47" s="11">
        <v>10</v>
      </c>
      <c r="J47" s="12">
        <f t="shared" si="2"/>
        <v>21</v>
      </c>
      <c r="K47" s="11">
        <v>15</v>
      </c>
      <c r="L47" s="16">
        <v>9</v>
      </c>
      <c r="M47" s="12">
        <f t="shared" si="7"/>
        <v>24</v>
      </c>
      <c r="N47" s="12">
        <f t="shared" si="8"/>
        <v>45</v>
      </c>
    </row>
    <row r="48" spans="1:14" s="22" customFormat="1" ht="18.75" x14ac:dyDescent="0.3">
      <c r="A48" s="17">
        <v>39</v>
      </c>
      <c r="B48" s="18" t="s">
        <v>96</v>
      </c>
      <c r="C48" s="18" t="s">
        <v>97</v>
      </c>
      <c r="D48" s="19">
        <v>0</v>
      </c>
      <c r="E48" s="19">
        <v>0</v>
      </c>
      <c r="F48" s="19">
        <v>0</v>
      </c>
      <c r="G48" s="20">
        <f t="shared" si="5"/>
        <v>0</v>
      </c>
      <c r="H48" s="20">
        <f t="shared" si="6"/>
        <v>0</v>
      </c>
      <c r="I48" s="20">
        <v>10</v>
      </c>
      <c r="J48" s="21">
        <v>0</v>
      </c>
      <c r="K48" s="20">
        <v>0</v>
      </c>
      <c r="L48" s="19">
        <v>0</v>
      </c>
      <c r="M48" s="21">
        <f t="shared" si="7"/>
        <v>0</v>
      </c>
      <c r="N48" s="21">
        <f t="shared" si="8"/>
        <v>0</v>
      </c>
    </row>
    <row r="49" spans="1:14" ht="18.75" x14ac:dyDescent="0.3">
      <c r="A49" s="5">
        <v>40</v>
      </c>
      <c r="B49" s="15" t="s">
        <v>98</v>
      </c>
      <c r="C49" s="15" t="s">
        <v>99</v>
      </c>
      <c r="D49" s="16">
        <v>30</v>
      </c>
      <c r="E49" s="16">
        <v>30</v>
      </c>
      <c r="F49" s="16">
        <v>30</v>
      </c>
      <c r="G49" s="11">
        <f t="shared" si="5"/>
        <v>15</v>
      </c>
      <c r="H49" s="11">
        <f t="shared" si="6"/>
        <v>15</v>
      </c>
      <c r="I49" s="11">
        <v>10</v>
      </c>
      <c r="J49" s="12">
        <f t="shared" ref="J49:J66" si="9">(H49+I49)</f>
        <v>25</v>
      </c>
      <c r="K49" s="11">
        <v>15</v>
      </c>
      <c r="L49" s="16">
        <v>10</v>
      </c>
      <c r="M49" s="12">
        <f t="shared" si="7"/>
        <v>25</v>
      </c>
      <c r="N49" s="12">
        <f t="shared" si="8"/>
        <v>50</v>
      </c>
    </row>
    <row r="50" spans="1:14" ht="18.75" x14ac:dyDescent="0.3">
      <c r="A50" s="5">
        <v>41</v>
      </c>
      <c r="B50" s="15" t="s">
        <v>100</v>
      </c>
      <c r="C50" s="15" t="s">
        <v>101</v>
      </c>
      <c r="D50" s="16">
        <v>2</v>
      </c>
      <c r="E50" s="16">
        <v>19</v>
      </c>
      <c r="F50" s="16">
        <v>12</v>
      </c>
      <c r="G50" s="11">
        <f t="shared" si="5"/>
        <v>5.5</v>
      </c>
      <c r="H50" s="11">
        <f t="shared" si="6"/>
        <v>6</v>
      </c>
      <c r="I50" s="11">
        <v>10</v>
      </c>
      <c r="J50" s="12">
        <f t="shared" si="9"/>
        <v>16</v>
      </c>
      <c r="K50" s="11">
        <v>15</v>
      </c>
      <c r="L50" s="16">
        <v>9</v>
      </c>
      <c r="M50" s="12">
        <f t="shared" si="7"/>
        <v>24</v>
      </c>
      <c r="N50" s="12">
        <f t="shared" si="8"/>
        <v>40</v>
      </c>
    </row>
    <row r="51" spans="1:14" ht="18.75" x14ac:dyDescent="0.3">
      <c r="A51" s="5">
        <v>42</v>
      </c>
      <c r="B51" s="15" t="s">
        <v>102</v>
      </c>
      <c r="C51" s="15" t="s">
        <v>103</v>
      </c>
      <c r="D51" s="16">
        <v>25</v>
      </c>
      <c r="E51" s="16">
        <v>26</v>
      </c>
      <c r="F51" s="16">
        <v>16</v>
      </c>
      <c r="G51" s="11">
        <f t="shared" si="5"/>
        <v>11.166666666666666</v>
      </c>
      <c r="H51" s="11">
        <f t="shared" si="6"/>
        <v>12</v>
      </c>
      <c r="I51" s="11">
        <v>10</v>
      </c>
      <c r="J51" s="12">
        <f t="shared" si="9"/>
        <v>22</v>
      </c>
      <c r="K51" s="11">
        <v>15</v>
      </c>
      <c r="L51" s="16">
        <v>9</v>
      </c>
      <c r="M51" s="12">
        <f t="shared" si="7"/>
        <v>24</v>
      </c>
      <c r="N51" s="12">
        <f t="shared" si="8"/>
        <v>46</v>
      </c>
    </row>
    <row r="52" spans="1:14" ht="18.75" x14ac:dyDescent="0.3">
      <c r="A52" s="10">
        <v>43</v>
      </c>
      <c r="B52" s="15" t="s">
        <v>104</v>
      </c>
      <c r="C52" s="15" t="s">
        <v>105</v>
      </c>
      <c r="D52" s="16">
        <v>24</v>
      </c>
      <c r="E52" s="16">
        <v>0</v>
      </c>
      <c r="F52" s="16">
        <v>23</v>
      </c>
      <c r="G52" s="11">
        <f t="shared" si="5"/>
        <v>7.833333333333333</v>
      </c>
      <c r="H52" s="11">
        <f t="shared" si="6"/>
        <v>8</v>
      </c>
      <c r="I52" s="11">
        <v>10</v>
      </c>
      <c r="J52" s="12">
        <f t="shared" si="9"/>
        <v>18</v>
      </c>
      <c r="K52" s="11">
        <v>15</v>
      </c>
      <c r="L52" s="16">
        <v>9</v>
      </c>
      <c r="M52" s="12">
        <f t="shared" si="7"/>
        <v>24</v>
      </c>
      <c r="N52" s="12">
        <f t="shared" si="8"/>
        <v>42</v>
      </c>
    </row>
    <row r="53" spans="1:14" ht="18.75" x14ac:dyDescent="0.3">
      <c r="A53" s="5">
        <v>44</v>
      </c>
      <c r="B53" s="15" t="s">
        <v>106</v>
      </c>
      <c r="C53" s="15" t="s">
        <v>107</v>
      </c>
      <c r="D53" s="16">
        <v>16</v>
      </c>
      <c r="E53" s="16">
        <v>1</v>
      </c>
      <c r="F53" s="16">
        <v>20</v>
      </c>
      <c r="G53" s="11">
        <f t="shared" si="5"/>
        <v>6.166666666666667</v>
      </c>
      <c r="H53" s="11">
        <f t="shared" si="6"/>
        <v>7</v>
      </c>
      <c r="I53" s="11">
        <v>10</v>
      </c>
      <c r="J53" s="12">
        <f t="shared" si="9"/>
        <v>17</v>
      </c>
      <c r="K53" s="11">
        <v>15</v>
      </c>
      <c r="L53" s="16">
        <v>9</v>
      </c>
      <c r="M53" s="12">
        <f t="shared" si="7"/>
        <v>24</v>
      </c>
      <c r="N53" s="12">
        <f t="shared" si="8"/>
        <v>41</v>
      </c>
    </row>
    <row r="54" spans="1:14" ht="18.75" x14ac:dyDescent="0.3">
      <c r="A54" s="5">
        <v>45</v>
      </c>
      <c r="B54" s="15" t="s">
        <v>108</v>
      </c>
      <c r="C54" s="15" t="s">
        <v>109</v>
      </c>
      <c r="D54" s="16">
        <v>21</v>
      </c>
      <c r="E54" s="16">
        <v>22</v>
      </c>
      <c r="F54" s="16">
        <v>27</v>
      </c>
      <c r="G54" s="11">
        <f t="shared" si="5"/>
        <v>11.666666666666666</v>
      </c>
      <c r="H54" s="11">
        <f t="shared" si="6"/>
        <v>12</v>
      </c>
      <c r="I54" s="11">
        <v>10</v>
      </c>
      <c r="J54" s="12">
        <f t="shared" si="9"/>
        <v>22</v>
      </c>
      <c r="K54" s="11">
        <v>15</v>
      </c>
      <c r="L54" s="16">
        <v>9</v>
      </c>
      <c r="M54" s="12">
        <f t="shared" si="7"/>
        <v>24</v>
      </c>
      <c r="N54" s="12">
        <f t="shared" si="8"/>
        <v>46</v>
      </c>
    </row>
    <row r="55" spans="1:14" ht="18.75" x14ac:dyDescent="0.3">
      <c r="A55" s="5">
        <v>46</v>
      </c>
      <c r="B55" s="15" t="s">
        <v>110</v>
      </c>
      <c r="C55" s="15" t="s">
        <v>111</v>
      </c>
      <c r="D55" s="16">
        <v>28</v>
      </c>
      <c r="E55" s="16">
        <v>24</v>
      </c>
      <c r="F55" s="16">
        <v>30</v>
      </c>
      <c r="G55" s="11">
        <f t="shared" si="5"/>
        <v>13.666666666666666</v>
      </c>
      <c r="H55" s="11">
        <f t="shared" si="6"/>
        <v>14</v>
      </c>
      <c r="I55" s="11">
        <v>10</v>
      </c>
      <c r="J55" s="12">
        <f t="shared" si="9"/>
        <v>24</v>
      </c>
      <c r="K55" s="11">
        <v>15</v>
      </c>
      <c r="L55" s="16">
        <v>10</v>
      </c>
      <c r="M55" s="12">
        <f t="shared" si="7"/>
        <v>25</v>
      </c>
      <c r="N55" s="12">
        <f t="shared" si="8"/>
        <v>49</v>
      </c>
    </row>
    <row r="56" spans="1:14" ht="18.75" x14ac:dyDescent="0.3">
      <c r="A56" s="10">
        <v>47</v>
      </c>
      <c r="B56" s="15" t="s">
        <v>112</v>
      </c>
      <c r="C56" s="15" t="s">
        <v>113</v>
      </c>
      <c r="D56" s="16">
        <v>12</v>
      </c>
      <c r="E56" s="16">
        <v>12</v>
      </c>
      <c r="F56" s="16">
        <v>15</v>
      </c>
      <c r="G56" s="11">
        <f t="shared" si="5"/>
        <v>6.5</v>
      </c>
      <c r="H56" s="11">
        <f t="shared" si="6"/>
        <v>7</v>
      </c>
      <c r="I56" s="11">
        <v>10</v>
      </c>
      <c r="J56" s="12">
        <f t="shared" si="9"/>
        <v>17</v>
      </c>
      <c r="K56" s="11">
        <v>15</v>
      </c>
      <c r="L56" s="16">
        <v>9</v>
      </c>
      <c r="M56" s="12">
        <f t="shared" si="7"/>
        <v>24</v>
      </c>
      <c r="N56" s="12">
        <f t="shared" si="8"/>
        <v>41</v>
      </c>
    </row>
    <row r="57" spans="1:14" ht="18.75" x14ac:dyDescent="0.3">
      <c r="A57" s="5">
        <v>48</v>
      </c>
      <c r="B57" s="15" t="s">
        <v>114</v>
      </c>
      <c r="C57" s="15" t="s">
        <v>115</v>
      </c>
      <c r="D57" s="16">
        <v>25</v>
      </c>
      <c r="E57" s="16">
        <v>18</v>
      </c>
      <c r="F57" s="16">
        <v>28</v>
      </c>
      <c r="G57" s="11">
        <f t="shared" si="5"/>
        <v>11.833333333333334</v>
      </c>
      <c r="H57" s="11">
        <f t="shared" si="6"/>
        <v>12</v>
      </c>
      <c r="I57" s="11">
        <v>10</v>
      </c>
      <c r="J57" s="12">
        <f t="shared" si="9"/>
        <v>22</v>
      </c>
      <c r="K57" s="11">
        <v>15</v>
      </c>
      <c r="L57" s="16">
        <v>10</v>
      </c>
      <c r="M57" s="12">
        <f t="shared" si="7"/>
        <v>25</v>
      </c>
      <c r="N57" s="12">
        <f t="shared" si="8"/>
        <v>47</v>
      </c>
    </row>
    <row r="58" spans="1:14" ht="18.75" x14ac:dyDescent="0.3">
      <c r="A58" s="5">
        <v>49</v>
      </c>
      <c r="B58" s="15" t="s">
        <v>116</v>
      </c>
      <c r="C58" s="15" t="s">
        <v>117</v>
      </c>
      <c r="D58" s="16">
        <v>22</v>
      </c>
      <c r="E58" s="16">
        <v>17</v>
      </c>
      <c r="F58" s="16">
        <v>13</v>
      </c>
      <c r="G58" s="11">
        <f t="shared" si="5"/>
        <v>8.6666666666666661</v>
      </c>
      <c r="H58" s="11">
        <f t="shared" si="6"/>
        <v>9</v>
      </c>
      <c r="I58" s="11">
        <v>10</v>
      </c>
      <c r="J58" s="12">
        <f t="shared" si="9"/>
        <v>19</v>
      </c>
      <c r="K58" s="11">
        <v>15</v>
      </c>
      <c r="L58" s="16">
        <v>9</v>
      </c>
      <c r="M58" s="12">
        <f t="shared" si="7"/>
        <v>24</v>
      </c>
      <c r="N58" s="12">
        <f t="shared" si="8"/>
        <v>43</v>
      </c>
    </row>
    <row r="59" spans="1:14" ht="18.75" x14ac:dyDescent="0.3">
      <c r="A59" s="5">
        <v>50</v>
      </c>
      <c r="B59" s="15" t="s">
        <v>118</v>
      </c>
      <c r="C59" s="15" t="s">
        <v>119</v>
      </c>
      <c r="D59" s="16">
        <v>13</v>
      </c>
      <c r="E59" s="16">
        <v>27</v>
      </c>
      <c r="F59" s="16">
        <v>26</v>
      </c>
      <c r="G59" s="11">
        <f t="shared" si="5"/>
        <v>11</v>
      </c>
      <c r="H59" s="11">
        <f t="shared" si="6"/>
        <v>11</v>
      </c>
      <c r="I59" s="11">
        <v>10</v>
      </c>
      <c r="J59" s="12">
        <f t="shared" si="9"/>
        <v>21</v>
      </c>
      <c r="K59" s="11">
        <v>15</v>
      </c>
      <c r="L59" s="16">
        <v>10</v>
      </c>
      <c r="M59" s="12">
        <f t="shared" si="7"/>
        <v>25</v>
      </c>
      <c r="N59" s="12">
        <f t="shared" si="8"/>
        <v>46</v>
      </c>
    </row>
    <row r="60" spans="1:14" ht="18.75" x14ac:dyDescent="0.3">
      <c r="A60" s="10">
        <v>51</v>
      </c>
      <c r="B60" s="15" t="s">
        <v>120</v>
      </c>
      <c r="C60" s="15" t="s">
        <v>121</v>
      </c>
      <c r="D60" s="16">
        <v>2</v>
      </c>
      <c r="E60" s="16">
        <v>15</v>
      </c>
      <c r="F60" s="16">
        <v>15</v>
      </c>
      <c r="G60" s="11">
        <f t="shared" si="5"/>
        <v>5.333333333333333</v>
      </c>
      <c r="H60" s="11">
        <f t="shared" si="6"/>
        <v>6</v>
      </c>
      <c r="I60" s="11">
        <v>10</v>
      </c>
      <c r="J60" s="12">
        <f t="shared" si="9"/>
        <v>16</v>
      </c>
      <c r="K60" s="11">
        <v>15</v>
      </c>
      <c r="L60" s="16">
        <v>10</v>
      </c>
      <c r="M60" s="12">
        <f t="shared" si="7"/>
        <v>25</v>
      </c>
      <c r="N60" s="12">
        <f t="shared" si="8"/>
        <v>41</v>
      </c>
    </row>
    <row r="61" spans="1:14" ht="18.75" x14ac:dyDescent="0.3">
      <c r="A61" s="5">
        <v>52</v>
      </c>
      <c r="B61" s="15" t="s">
        <v>122</v>
      </c>
      <c r="C61" s="15" t="s">
        <v>123</v>
      </c>
      <c r="D61" s="16">
        <v>15</v>
      </c>
      <c r="E61" s="16">
        <v>15</v>
      </c>
      <c r="F61" s="16">
        <v>12</v>
      </c>
      <c r="G61" s="11">
        <f t="shared" si="5"/>
        <v>7</v>
      </c>
      <c r="H61" s="11">
        <f t="shared" si="6"/>
        <v>7</v>
      </c>
      <c r="I61" s="11">
        <v>10</v>
      </c>
      <c r="J61" s="12">
        <f t="shared" si="9"/>
        <v>17</v>
      </c>
      <c r="K61" s="11">
        <v>15</v>
      </c>
      <c r="L61" s="16">
        <v>9</v>
      </c>
      <c r="M61" s="12">
        <f t="shared" si="7"/>
        <v>24</v>
      </c>
      <c r="N61" s="12">
        <f t="shared" si="8"/>
        <v>41</v>
      </c>
    </row>
    <row r="62" spans="1:14" ht="18.75" x14ac:dyDescent="0.3">
      <c r="A62" s="5">
        <v>53</v>
      </c>
      <c r="B62" s="15" t="s">
        <v>124</v>
      </c>
      <c r="C62" s="15" t="s">
        <v>125</v>
      </c>
      <c r="D62" s="16">
        <v>18</v>
      </c>
      <c r="E62" s="16">
        <v>8</v>
      </c>
      <c r="F62" s="16">
        <v>17</v>
      </c>
      <c r="G62" s="11">
        <f t="shared" si="5"/>
        <v>7.166666666666667</v>
      </c>
      <c r="H62" s="11">
        <f t="shared" si="6"/>
        <v>8</v>
      </c>
      <c r="I62" s="11">
        <v>10</v>
      </c>
      <c r="J62" s="12">
        <f t="shared" si="9"/>
        <v>18</v>
      </c>
      <c r="K62" s="11">
        <v>15</v>
      </c>
      <c r="L62" s="16">
        <v>9</v>
      </c>
      <c r="M62" s="12">
        <f t="shared" si="7"/>
        <v>24</v>
      </c>
      <c r="N62" s="12">
        <f t="shared" si="8"/>
        <v>42</v>
      </c>
    </row>
    <row r="63" spans="1:14" ht="18.75" x14ac:dyDescent="0.3">
      <c r="A63" s="5">
        <v>54</v>
      </c>
      <c r="B63" s="15" t="s">
        <v>126</v>
      </c>
      <c r="C63" s="15" t="s">
        <v>127</v>
      </c>
      <c r="D63" s="16">
        <v>18</v>
      </c>
      <c r="E63" s="16">
        <v>13</v>
      </c>
      <c r="F63" s="16">
        <v>4</v>
      </c>
      <c r="G63" s="11">
        <f t="shared" si="5"/>
        <v>5.833333333333333</v>
      </c>
      <c r="H63" s="11">
        <f t="shared" si="6"/>
        <v>6</v>
      </c>
      <c r="I63" s="11">
        <v>10</v>
      </c>
      <c r="J63" s="12">
        <f t="shared" si="9"/>
        <v>16</v>
      </c>
      <c r="K63" s="11">
        <v>15</v>
      </c>
      <c r="L63" s="16">
        <v>10</v>
      </c>
      <c r="M63" s="12">
        <f t="shared" si="7"/>
        <v>25</v>
      </c>
      <c r="N63" s="12">
        <f t="shared" si="8"/>
        <v>41</v>
      </c>
    </row>
    <row r="64" spans="1:14" ht="18.75" x14ac:dyDescent="0.3">
      <c r="A64" s="10">
        <v>55</v>
      </c>
      <c r="B64" s="15" t="s">
        <v>128</v>
      </c>
      <c r="C64" s="15" t="s">
        <v>129</v>
      </c>
      <c r="D64" s="16">
        <v>27</v>
      </c>
      <c r="E64" s="16">
        <v>16</v>
      </c>
      <c r="F64" s="16">
        <v>19</v>
      </c>
      <c r="G64" s="11">
        <f t="shared" si="5"/>
        <v>10.333333333333334</v>
      </c>
      <c r="H64" s="11">
        <f t="shared" si="6"/>
        <v>11</v>
      </c>
      <c r="I64" s="11">
        <v>10</v>
      </c>
      <c r="J64" s="12">
        <f t="shared" si="9"/>
        <v>21</v>
      </c>
      <c r="K64" s="11">
        <v>15</v>
      </c>
      <c r="L64" s="16">
        <v>9</v>
      </c>
      <c r="M64" s="12">
        <f t="shared" si="7"/>
        <v>24</v>
      </c>
      <c r="N64" s="12">
        <f t="shared" si="8"/>
        <v>45</v>
      </c>
    </row>
    <row r="65" spans="1:14" ht="18.75" x14ac:dyDescent="0.3">
      <c r="A65" s="5">
        <v>56</v>
      </c>
      <c r="B65" s="15" t="s">
        <v>130</v>
      </c>
      <c r="C65" s="15" t="s">
        <v>131</v>
      </c>
      <c r="D65" s="16">
        <v>19</v>
      </c>
      <c r="E65" s="16">
        <v>8</v>
      </c>
      <c r="F65" s="16">
        <v>27</v>
      </c>
      <c r="G65" s="11">
        <f t="shared" si="5"/>
        <v>9</v>
      </c>
      <c r="H65" s="11">
        <f t="shared" si="6"/>
        <v>9</v>
      </c>
      <c r="I65" s="11">
        <v>10</v>
      </c>
      <c r="J65" s="12">
        <f t="shared" si="9"/>
        <v>19</v>
      </c>
      <c r="K65" s="11">
        <v>15</v>
      </c>
      <c r="L65" s="16">
        <v>9</v>
      </c>
      <c r="M65" s="12">
        <f t="shared" si="7"/>
        <v>24</v>
      </c>
      <c r="N65" s="12">
        <f t="shared" si="8"/>
        <v>43</v>
      </c>
    </row>
    <row r="66" spans="1:14" ht="18.75" x14ac:dyDescent="0.3">
      <c r="A66" s="5">
        <v>57</v>
      </c>
      <c r="B66" s="15" t="s">
        <v>132</v>
      </c>
      <c r="C66" s="15" t="s">
        <v>133</v>
      </c>
      <c r="D66" s="16">
        <v>23</v>
      </c>
      <c r="E66" s="16">
        <v>18</v>
      </c>
      <c r="F66" s="16">
        <v>10</v>
      </c>
      <c r="G66" s="7">
        <f t="shared" si="5"/>
        <v>8.5</v>
      </c>
      <c r="H66" s="7">
        <f t="shared" si="6"/>
        <v>9</v>
      </c>
      <c r="I66" s="7">
        <v>10</v>
      </c>
      <c r="J66" s="8">
        <f t="shared" si="9"/>
        <v>19</v>
      </c>
      <c r="K66" s="7">
        <v>15</v>
      </c>
      <c r="L66" s="16">
        <v>10</v>
      </c>
      <c r="M66" s="8">
        <f t="shared" si="7"/>
        <v>25</v>
      </c>
      <c r="N66" s="8">
        <f t="shared" si="8"/>
        <v>44</v>
      </c>
    </row>
  </sheetData>
  <sortState ref="A10:N66">
    <sortCondition ref="B10:B66"/>
  </sortState>
  <mergeCells count="4">
    <mergeCell ref="B1:Q1"/>
    <mergeCell ref="B2:Q2"/>
    <mergeCell ref="B3:Q3"/>
    <mergeCell ref="B4:Q4"/>
  </mergeCells>
  <pageMargins left="0.7" right="0.7" top="0.75" bottom="0.75" header="0.3" footer="0.3"/>
  <pageSetup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C</dc:creator>
  <cp:lastModifiedBy>Admin</cp:lastModifiedBy>
  <cp:lastPrinted>2025-02-22T04:29:40Z</cp:lastPrinted>
  <dcterms:created xsi:type="dcterms:W3CDTF">2015-06-05T18:17:20Z</dcterms:created>
  <dcterms:modified xsi:type="dcterms:W3CDTF">2025-07-08T05:09:58Z</dcterms:modified>
</cp:coreProperties>
</file>